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H:\NEW 2024-05-29 NEW BEGINNINGS\Rebuilds\Parking Refund Final Project Files V_1_1\Parking_Refund_Files_V_1_2\"/>
    </mc:Choice>
  </mc:AlternateContent>
  <xr:revisionPtr revIDLastSave="0" documentId="8_{960AA963-D0D3-40F0-8978-2279A006BD33}" xr6:coauthVersionLast="47" xr6:coauthVersionMax="47" xr10:uidLastSave="{00000000-0000-0000-0000-000000000000}"/>
  <bookViews>
    <workbookView xWindow="5865" yWindow="1590" windowWidth="22995" windowHeight="21675" tabRatio="845" xr2:uid="{F19AD93B-477D-487B-AE4E-AA9638995BF4}"/>
  </bookViews>
  <sheets>
    <sheet name="End Deductions" sheetId="1" r:id="rId1"/>
    <sheet name="Service_Center_Only" sheetId="7" state="hidden" r:id="rId2"/>
    <sheet name="List_Validations" sheetId="5" state="hidden" r:id="rId3"/>
    <sheet name="New Parking Monthly" sheetId="2" r:id="rId4"/>
    <sheet name="New Flat Amounts" sheetId="3" r:id="rId5"/>
    <sheet name="Refunds-Additions" sheetId="4" r:id="rId6"/>
  </sheets>
  <definedNames>
    <definedName name="Ded_Vals_All">Deductions[Ded_cd]</definedName>
    <definedName name="Ded_Vals_Descr">Deductions[Description]</definedName>
    <definedName name="Ded_Vals_Flat">Ded_Flats[Ded_cd]</definedName>
    <definedName name="Ded_Vals_Monthly">Ded_Monthly[Ded_cd]</definedName>
    <definedName name="End_Pay_Cycle_Dates">End_Dates[Date_Val]</definedName>
    <definedName name="Refunds_Consolidated_List">Service_Center_Only!$A$1</definedName>
    <definedName name="Start_And_End_Dates">Both_End_Start_Dates[Date_Val]</definedName>
    <definedName name="Start_Pay_Cycle_Dates">Start_Dates[Date_Val]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7" l="1" a="1"/>
  <c r="A1" i="7" s="1"/>
  <c r="Q8" i="5" l="1"/>
  <c r="Q7" i="5"/>
  <c r="T7" i="5" l="1" a="1"/>
  <c r="T7" i="5" s="1"/>
  <c r="T2" i="5" a="1"/>
  <c r="T2" i="5" s="1"/>
  <c r="T3" i="5" a="1"/>
  <c r="T3" i="5" s="1"/>
  <c r="T4" i="5" a="1"/>
  <c r="T4" i="5" s="1"/>
  <c r="T5" i="5" a="1"/>
  <c r="T5" i="5" s="1"/>
  <c r="T6" i="5" a="1"/>
  <c r="T6" i="5" s="1"/>
  <c r="Q6" i="5" l="1"/>
  <c r="Q5" i="5"/>
  <c r="Q4" i="5"/>
  <c r="Q3" i="5"/>
  <c r="Q2" i="5"/>
  <c r="N12" i="5"/>
  <c r="N11" i="5"/>
  <c r="N10" i="5"/>
  <c r="N9" i="5"/>
  <c r="N8" i="5"/>
  <c r="N7" i="5"/>
  <c r="N6" i="5"/>
  <c r="N5" i="5"/>
  <c r="N4" i="5"/>
  <c r="N3" i="5"/>
  <c r="N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<sst xmlns="http://schemas.openxmlformats.org/spreadsheetml/2006/main" count="177" uniqueCount="76">
  <si>
    <t>Emplid</t>
  </si>
  <si>
    <t>Co</t>
  </si>
  <si>
    <t>Ded_End_dt</t>
  </si>
  <si>
    <t>Last_Name</t>
  </si>
  <si>
    <t>First_Name</t>
  </si>
  <si>
    <t>Dt_Entered</t>
  </si>
  <si>
    <t>Effdt</t>
  </si>
  <si>
    <t>PARKDP</t>
  </si>
  <si>
    <t>Description</t>
  </si>
  <si>
    <t>PARK01</t>
  </si>
  <si>
    <t>Erie-McClurg Garage</t>
  </si>
  <si>
    <t>PARK02</t>
  </si>
  <si>
    <t>Odgen Plaza Garage</t>
  </si>
  <si>
    <t>PARK03</t>
  </si>
  <si>
    <t>Illinois &amp; New Parking</t>
  </si>
  <si>
    <t>PARK04</t>
  </si>
  <si>
    <t>MRI Parking Lot</t>
  </si>
  <si>
    <t>PARK05</t>
  </si>
  <si>
    <t>Weekend Parking Keycard</t>
  </si>
  <si>
    <t>PARK13</t>
  </si>
  <si>
    <t>Doubletree Hotel Mag Mile</t>
  </si>
  <si>
    <t>PARK14</t>
  </si>
  <si>
    <t>River East AMC</t>
  </si>
  <si>
    <t>PARK15</t>
  </si>
  <si>
    <t>Onterie Center Garage</t>
  </si>
  <si>
    <t>PARK16</t>
  </si>
  <si>
    <t>680 Garage</t>
  </si>
  <si>
    <t>PARK17</t>
  </si>
  <si>
    <t>Erie Ontario Garage</t>
  </si>
  <si>
    <t>PARK18</t>
  </si>
  <si>
    <t>Ontario Garage</t>
  </si>
  <si>
    <t>PARK19</t>
  </si>
  <si>
    <t>259 E Erie Parking</t>
  </si>
  <si>
    <t>PARK20</t>
  </si>
  <si>
    <t>441 E. Erie-Axis Apts</t>
  </si>
  <si>
    <t>Parking Keycard Deposit</t>
  </si>
  <si>
    <t>PARKEV</t>
  </si>
  <si>
    <t>Parking Evanston</t>
  </si>
  <si>
    <t>PARKG1</t>
  </si>
  <si>
    <t>NMG Parking Erie Ontario</t>
  </si>
  <si>
    <t>PARKG3</t>
  </si>
  <si>
    <t>NMG Parking Rivers East</t>
  </si>
  <si>
    <t>PARKG4</t>
  </si>
  <si>
    <t>NMG Parking Rush Ohio Wabash</t>
  </si>
  <si>
    <t>PARKG5</t>
  </si>
  <si>
    <t>NMG Parking Arkes</t>
  </si>
  <si>
    <t>Parking 01</t>
  </si>
  <si>
    <t>Parking 02</t>
  </si>
  <si>
    <t>Parking 03</t>
  </si>
  <si>
    <t>Parking 04</t>
  </si>
  <si>
    <t>WK Keycard</t>
  </si>
  <si>
    <t>Park18</t>
  </si>
  <si>
    <t>Park20</t>
  </si>
  <si>
    <t>Keycard Dp</t>
  </si>
  <si>
    <t>ParkEvanst</t>
  </si>
  <si>
    <t>NMG ParkEO</t>
  </si>
  <si>
    <t>NMG ParkRE</t>
  </si>
  <si>
    <t>NMG ParkRO</t>
  </si>
  <si>
    <t>NMG ParkAR</t>
  </si>
  <si>
    <t>Short_Desc</t>
  </si>
  <si>
    <t>Ded_Code</t>
  </si>
  <si>
    <t>PKCHRG</t>
  </si>
  <si>
    <t>Parking Service Charge</t>
  </si>
  <si>
    <t>NMPART</t>
  </si>
  <si>
    <t>NU Parking surcharges</t>
  </si>
  <si>
    <t>Type</t>
  </si>
  <si>
    <t>Amount</t>
  </si>
  <si>
    <t>New Monthly Parking</t>
  </si>
  <si>
    <t>New Flat Amounts</t>
  </si>
  <si>
    <t>Refunds and Additions</t>
  </si>
  <si>
    <t>Ending Deductions</t>
  </si>
  <si>
    <t>Start_Effdt</t>
  </si>
  <si>
    <t>Comments</t>
  </si>
  <si>
    <t>Ded_cd</t>
  </si>
  <si>
    <t>Date_Val</t>
  </si>
  <si>
    <t>dt_shift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</si>
</sst>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0" fillId="5" borderId="1" xfId="0" applyFill="1" applyBorder="1" applyAlignment="1" applyProtection="1">
      <alignment vertical="top" wrapText="1"/>
      <protection hidden="1"/>
    </xf>
    <xf numFmtId="0" fontId="0" fillId="0" borderId="0" xfId="0" applyProtection="1">
      <protection hidden="1"/>
    </xf>
    <xf numFmtId="49" fontId="0" fillId="0" borderId="0" xfId="0" applyNumberFormat="1" applyProtection="1">
      <protection hidden="1"/>
    </xf>
    <xf numFmtId="14" fontId="0" fillId="0" borderId="0" xfId="0" applyNumberFormat="1" applyProtection="1">
      <protection hidden="1"/>
    </xf>
    <xf numFmtId="0" fontId="0" fillId="0" borderId="2" xfId="0" applyBorder="1"/>
    <xf numFmtId="0" fontId="0" fillId="0" borderId="4" xfId="0" applyBorder="1"/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49" fontId="3" fillId="0" borderId="8" xfId="0" applyNumberFormat="1" applyFont="1" applyBorder="1"/>
    <xf numFmtId="49" fontId="3" fillId="0" borderId="9" xfId="0" quotePrefix="1" applyNumberFormat="1" applyFont="1" applyBorder="1" applyAlignment="1">
      <alignment horizontal="right"/>
    </xf>
    <xf numFmtId="49" fontId="3" fillId="0" borderId="9" xfId="0" applyNumberFormat="1" applyFont="1" applyBorder="1" applyAlignment="1">
      <alignment horizontal="right"/>
    </xf>
    <xf numFmtId="14" fontId="3" fillId="0" borderId="9" xfId="0" applyNumberFormat="1" applyFont="1" applyBorder="1"/>
    <xf numFmtId="49" fontId="3" fillId="0" borderId="9" xfId="0" applyNumberFormat="1" applyFont="1" applyBorder="1"/>
    <xf numFmtId="49" fontId="3" fillId="0" borderId="10" xfId="0" applyNumberFormat="1" applyFont="1" applyBorder="1"/>
    <xf numFmtId="2" fontId="3" fillId="0" borderId="9" xfId="0" applyNumberFormat="1" applyFont="1" applyBorder="1"/>
    <xf numFmtId="49" fontId="4" fillId="0" borderId="9" xfId="0" applyNumberFormat="1" applyFont="1" applyBorder="1" applyAlignment="1">
      <alignment horizontal="center"/>
    </xf>
    <xf numFmtId="2" fontId="3" fillId="0" borderId="9" xfId="0" applyNumberFormat="1" applyFont="1" applyBorder="1" applyAlignment="1">
      <alignment horizontal="right"/>
    </xf>
    <xf numFmtId="0" fontId="5" fillId="7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</cellXfs>
  <cellStyles count="2">
    <cellStyle name="Normal" xfId="0" builtinId="0"/>
    <cellStyle name="Normal 2" xfId="1" xr:uid="{0600F88B-0875-4292-8303-945392391C6E}"/>
  </cellStyles>
  <dxfs count="104"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66"/>
        </patternFill>
      </fill>
    </dxf>
    <dxf>
      <fill>
        <patternFill patternType="gray0625">
          <fgColor rgb="FFCC0000"/>
          <bgColor rgb="FFFFEB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 patternType="gray0625">
          <fgColor rgb="FFCC0000"/>
          <bgColor rgb="FFFFEB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 patternType="gray0625">
          <fgColor rgb="FFCC0000"/>
          <bgColor rgb="FFFFEB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 patternType="gray0625">
          <fgColor rgb="FFCC0000"/>
          <bgColor rgb="FFFFEBFF"/>
        </patternFill>
      </fill>
    </dxf>
    <dxf>
      <fill>
        <patternFill>
          <bgColor rgb="FFFFFF66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m/d/yyyy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numFmt numFmtId="19" formatCode="m/d/yyyy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protection locked="1" hidden="1"/>
    </dxf>
    <dxf>
      <protection locked="1" hidden="1"/>
    </dxf>
    <dxf>
      <numFmt numFmtId="19" formatCode="m/d/yyyy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protection locked="1" hidden="1"/>
    </dxf>
    <dxf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numFmt numFmtId="30" formatCode="@"/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1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EFFFFE"/>
        </patternFill>
      </fill>
      <border>
        <left style="thin">
          <color auto="1"/>
        </left>
        <right style="medium">
          <color auto="1"/>
        </right>
        <top style="thin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Lighter_Shade" pivot="0" count="2" xr9:uid="{75FB149F-52B4-46C1-8959-289B3436EB4D}">
      <tableStyleElement type="wholeTable" dxfId="103"/>
      <tableStyleElement type="headerRow" dxfId="102"/>
    </tableStyle>
  </tableStyles>
  <colors>
    <mruColors>
      <color rgb="FFFFFF66"/>
      <color rgb="FFFFEBFF"/>
      <color rgb="FFCC0000"/>
      <color rgb="FFFFE1FF"/>
      <color rgb="FFCCFFCC"/>
      <color rgb="FFFFCC99"/>
      <color rgb="FF99FF99"/>
      <color rgb="FFCCFF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4409B4-DC0B-48AE-9A4D-BB7D22F184EA}" name="End_Deds" displayName="End_Deds" ref="A2:H3" totalsRowShown="0" headerRowDxfId="101" dataDxfId="99" headerRowBorderDxfId="100" tableBorderDxfId="98" totalsRowBorderDxfId="97">
  <tableColumns count="8">
    <tableColumn id="1" xr3:uid="{173E1776-9684-405A-8810-B0C32D184C29}" name="Emplid" dataDxfId="96"/>
    <tableColumn id="2" xr3:uid="{6515AA62-C7F7-4AB1-B4D2-AE3F6B5F69DB}" name="Co" dataDxfId="95"/>
    <tableColumn id="3" xr3:uid="{DF733B33-8FFF-4AA8-8474-C8564D3196C3}" name="Ded_Code" dataDxfId="94"/>
    <tableColumn id="4" xr3:uid="{85C654A5-C0B7-4517-AA55-C866D83B28D1}" name="Ded_End_dt" dataDxfId="93"/>
    <tableColumn id="5" xr3:uid="{FC81A6C1-4079-45FE-BD75-324ECF0E6370}" name="Last_Name" dataDxfId="92"/>
    <tableColumn id="6" xr3:uid="{F7E332E1-E2C0-4BDA-94A3-6268CC82369F}" name="First_Name" dataDxfId="91"/>
    <tableColumn id="7" xr3:uid="{A99C46B8-32D3-4547-8BD2-F55DB9BE0B5D}" name="Dt_Entered" dataDxfId="90"/>
    <tableColumn id="8" xr3:uid="{45FB2BD9-7935-4D1A-9916-B7734DE383F7}" name="Comments" dataDxfId="89"/>
  </tableColumns>
  <tableStyleInfo name="Lighter_Shad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C92B891-9433-4C63-AA3B-6ADDCAE8D383}" name="Deductions" displayName="Deductions" ref="A1:C21" totalsRowShown="0" headerRowDxfId="88" dataDxfId="87">
  <tableColumns count="3">
    <tableColumn id="1" xr3:uid="{E2573843-2EE1-402B-952C-3D3A1956A821}" name="Ded_cd" dataDxfId="86"/>
    <tableColumn id="2" xr3:uid="{4394B689-91A3-49FB-98FD-E1AF2488C74B}" name="Description" dataDxfId="85"/>
    <tableColumn id="3" xr3:uid="{4D3237E2-6783-4B16-A5EE-2A67631E2A20}" name="Short_Desc" data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84DB1C1-0C6B-4379-971B-27B4B2F310D0}" name="Ded_Monthly" displayName="Ded_Monthly" ref="E1:G19" totalsRowShown="0" headerRowDxfId="83" dataDxfId="82">
  <tableColumns count="3">
    <tableColumn id="1" xr3:uid="{FE0C5073-1CBB-4A51-AB1E-A4E029C78E39}" name="Ded_cd" dataDxfId="81"/>
    <tableColumn id="2" xr3:uid="{6CDCF997-FFAF-4E90-804E-1ADB82DE84C5}" name="Description" dataDxfId="80"/>
    <tableColumn id="3" xr3:uid="{BE036D78-5B03-4752-B5D8-B2A78C64CA85}" name="Short_Desc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120E6E9-D3A0-4544-A628-86454706079A}" name="Start_Dates" displayName="Start_Dates" ref="M1:N12" totalsRowShown="0" headerRowDxfId="78" dataDxfId="77">
  <tableColumns count="2">
    <tableColumn id="1" xr3:uid="{6A5877C4-924A-4ACE-9215-4EFFB1A16B7B}" name="dt_shift" dataDxfId="76"/>
    <tableColumn id="2" xr3:uid="{543C9241-E8D4-4268-B553-47339AA64301}" name="Date_Val" dataDxfId="75">
      <calculatedColumnFormula>TODAY()-MOD(DATEDIF(DATE(2024,1,7),TODAY(),"D"),14) + 14*Start_Dates[[#This Row],[dt_shift]]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1DFB6D6-5E39-4B23-BD00-E57634726B0A}" name="Ded_Flats" displayName="Ded_Flats" ref="I1:K4" totalsRowShown="0" headerRowDxfId="74" dataDxfId="73">
  <tableColumns count="3">
    <tableColumn id="1" xr3:uid="{2F87850D-D9EF-4D45-A496-518A9C23EF20}" name="Ded_cd" dataDxfId="72"/>
    <tableColumn id="2" xr3:uid="{09589638-C255-404B-9FD7-DCFE07559B5D}" name="Description" dataDxfId="71"/>
    <tableColumn id="3" xr3:uid="{BDA99DAD-B2DC-44A4-8F0A-E509B0476B47}" name="Short_Desc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768A804-D847-485C-81DC-C1C604A68310}" name="End_Dates" displayName="End_Dates" ref="P1:Q8" totalsRowShown="0" headerRowDxfId="69" dataDxfId="68">
  <tableColumns count="2">
    <tableColumn id="1" xr3:uid="{97D793A6-9C2B-4163-8790-AC291C57F3F3}" name="dt_shift" dataDxfId="67"/>
    <tableColumn id="2" xr3:uid="{598D22B0-149E-4E86-851B-56662C7C5D17}" name="Date_Val" dataDxfId="66">
      <calculatedColumnFormula>TODAY()-MOD(DATEDIF(DATE(2024,1,6),TODAY(),"D"),14) + 14*End_Dates[[#This Row],[dt_shift]]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8A05D29-2D39-4F58-8CB4-00E9E4529A46}" name="Both_End_Start_Dates" displayName="Both_End_Start_Dates" ref="S1:T7" totalsRowShown="0" headerRowDxfId="65" dataDxfId="64">
  <tableColumns count="2">
    <tableColumn id="1" xr3:uid="{45E226B3-01D6-41C9-9F04-F7B64166B6D1}" name="dt_shift" dataDxfId="63"/>
    <tableColumn id="2" xr3:uid="{BB8DF69D-CB93-42C9-AEBE-CC7BE88EE614}" name="Date_Val" dataDxfId="62">
      <calculatedColumnFormula array="1">TODAY()-MOD(DATEDIF(DATE(2024,1,6),TODAY(),"D"),14) + 14*Both_End_Start_Dates[[#This Row],[dt_shift]]+MOD(ROW(Both_End_Start_Dates[#This Row])-ROW(Both_End_Start_Dates[#Headers])-1,2)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E7AD4B-FDD6-4E0E-B05B-36F440E43D05}" name="New_Deds_M" displayName="New_Deds_M" ref="A2:H3" totalsRowShown="0" headerRowDxfId="61" dataDxfId="59" headerRowBorderDxfId="60" tableBorderDxfId="58" totalsRowBorderDxfId="57">
  <tableColumns count="8">
    <tableColumn id="1" xr3:uid="{8AB356AE-2A00-40A3-956E-3C7419389005}" name="Emplid" dataDxfId="56"/>
    <tableColumn id="2" xr3:uid="{ABDE5DD6-2544-4C89-A1A5-810192AB0395}" name="Co" dataDxfId="55"/>
    <tableColumn id="3" xr3:uid="{4E2A7B76-26C7-4256-A060-61952F69547D}" name="Ded_Code" dataDxfId="54"/>
    <tableColumn id="4" xr3:uid="{2C1ECFAC-4FB0-4F05-9E84-AF6F40A4C508}" name="Start_Effdt" dataDxfId="53"/>
    <tableColumn id="5" xr3:uid="{55CB38CC-7BBA-434F-84A4-A65F7F8482F3}" name="Last_Name" dataDxfId="52"/>
    <tableColumn id="6" xr3:uid="{FC4E37FA-F08A-4FA6-B036-7B9F3D96DE54}" name="First_Name" dataDxfId="51"/>
    <tableColumn id="7" xr3:uid="{707695BD-9B72-43E5-82CE-71930114CA85}" name="Dt_Entered" dataDxfId="50"/>
    <tableColumn id="8" xr3:uid="{6937B742-C06D-4964-A143-B974A8FDBCAD}" name="Comments" dataDxfId="49"/>
  </tableColumns>
  <tableStyleInfo name="Lighter_Shade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6997B35-711C-4215-B040-E2B81254282C}" name="New_Deds_F" displayName="New_Deds_F" ref="A2:I3" totalsRowShown="0" headerRowDxfId="48" dataDxfId="46" headerRowBorderDxfId="47" tableBorderDxfId="45" totalsRowBorderDxfId="44">
  <tableColumns count="9">
    <tableColumn id="1" xr3:uid="{8F430604-888E-4894-807F-4E794B1B7526}" name="Emplid" dataDxfId="43"/>
    <tableColumn id="2" xr3:uid="{89451C8F-F3DC-49D6-AC40-664E4B0BB3DB}" name="Co" dataDxfId="42"/>
    <tableColumn id="3" xr3:uid="{06F8B4C6-7540-4296-8731-D49A9E0284CA}" name="Ded_Code" dataDxfId="41"/>
    <tableColumn id="4" xr3:uid="{5191BE5C-D80C-4791-B551-CF68991B2720}" name="Start_Effdt" dataDxfId="40"/>
    <tableColumn id="9" xr3:uid="{199DBBF0-8249-4AA8-932A-F25A5283E23F}" name="Amount" dataDxfId="39"/>
    <tableColumn id="5" xr3:uid="{9688EA9D-037D-4C4F-B866-AE9DE380347E}" name="Last_Name" dataDxfId="38"/>
    <tableColumn id="6" xr3:uid="{D343BE9B-48F8-47F4-9C64-7D5D1C7AA39D}" name="First_Name" dataDxfId="37"/>
    <tableColumn id="7" xr3:uid="{AC758C76-99DD-49BC-A029-99E640A1A68D}" name="Dt_Entered" dataDxfId="36"/>
    <tableColumn id="8" xr3:uid="{DF047AF3-DA2F-470B-ABA7-A5D0D377D843}" name="Comments" dataDxfId="35"/>
  </tableColumns>
  <tableStyleInfo name="Lighter_Shade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A3542B1F-92E1-4E06-B21D-921A2DCB2F45}" name="Refunds_Adds" displayName="Refunds_Adds" ref="A2:J3" insertRow="1" totalsRowShown="0" headerRowDxfId="34" dataDxfId="32" headerRowBorderDxfId="33" tableBorderDxfId="31" totalsRowBorderDxfId="30">
  <tableColumns count="10">
    <tableColumn id="1" xr3:uid="{1C86386A-2037-42FA-BB4C-29C87C577DD5}" name="Emplid" dataDxfId="29"/>
    <tableColumn id="2" xr3:uid="{1AD9C070-DCC4-48C7-B945-9CF436C024FE}" name="Co" dataDxfId="28"/>
    <tableColumn id="3" xr3:uid="{FDE2CEFB-9F55-4E9F-8C9F-C29D83CE0A61}" name="Ded_Code" dataDxfId="27"/>
    <tableColumn id="10" xr3:uid="{AD76FA5B-E1EC-417D-909C-0148DEF058CA}" name="Type" dataDxfId="26"/>
    <tableColumn id="9" xr3:uid="{06F87776-DD3A-4666-ADFB-85AD47940CE6}" name="Amount" dataDxfId="25"/>
    <tableColumn id="4" xr3:uid="{8F7F8638-A7BC-4CEC-A94E-6550AA0FB14B}" name="Effdt" dataDxfId="24"/>
    <tableColumn id="5" xr3:uid="{A78EB64C-3B16-4FCA-AD5B-1F5CB72AC7EB}" name="Last_Name" dataDxfId="23"/>
    <tableColumn id="6" xr3:uid="{15EBEAD8-B29E-4C0A-9F9F-4B65547C02EF}" name="First_Name" dataDxfId="22"/>
    <tableColumn id="7" xr3:uid="{AF4FBB77-289D-445D-AD07-D60C3B6F3CC5}" name="Dt_Entered" dataDxfId="21"/>
    <tableColumn id="8" xr3:uid="{1660AD45-29C3-4ABF-849E-59953EC40047}" name="Comments" dataDxfId="20"/>
  </tableColumns>
  <tableStyleInfo name="Lighter_Shade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43787-4E5D-4D43-AB95-8F04C19E4D11}">
  <sheetPr codeName="Sheet1">
    <tabColor rgb="FFFFFF99"/>
  </sheetPr>
  <dimension ref="A1:H3"/>
  <sheetViews>
    <sheetView showGridLines="0" tabSelected="1" zoomScaleNormal="100" workbookViewId="0">
      <selection activeCell="A3" sqref="A3"/>
    </sheetView>
  </sheetViews>
  <sheetFormatPr defaultColWidth="0" defaultRowHeight="15" x14ac:dyDescent="0.25"/>
  <cols>
    <col min="1" max="1" width="8.5703125" style="5" customWidth="1"/>
    <col min="2" max="2" width="5.7109375" style="5" customWidth="1"/>
    <col min="3" max="3" width="10" style="5" bestFit="1" customWidth="1"/>
    <col min="4" max="4" width="11.85546875" style="5" customWidth="1"/>
    <col min="5" max="6" width="25.7109375" style="5" customWidth="1"/>
    <col min="7" max="7" width="11.85546875" style="5" customWidth="1"/>
    <col min="8" max="8" width="40" style="5" customWidth="1"/>
    <col min="9" max="16384" width="9" hidden="1"/>
  </cols>
  <sheetData>
    <row r="1" spans="1:8" ht="24" x14ac:dyDescent="0.4">
      <c r="A1" s="20" t="s">
        <v>70</v>
      </c>
      <c r="B1" s="20"/>
      <c r="C1" s="20"/>
      <c r="D1" s="20"/>
      <c r="E1" s="20"/>
      <c r="F1" s="20"/>
      <c r="G1" s="20"/>
      <c r="H1" s="20"/>
    </row>
    <row r="2" spans="1:8" ht="15" customHeight="1" x14ac:dyDescent="0.25">
      <c r="A2" s="7" t="s">
        <v>0</v>
      </c>
      <c r="B2" s="8" t="s">
        <v>1</v>
      </c>
      <c r="C2" s="9" t="s">
        <v>60</v>
      </c>
      <c r="D2" s="9" t="s">
        <v>2</v>
      </c>
      <c r="E2" s="8" t="s">
        <v>3</v>
      </c>
      <c r="F2" s="8" t="s">
        <v>4</v>
      </c>
      <c r="G2" s="8" t="s">
        <v>5</v>
      </c>
      <c r="H2" s="10" t="s">
        <v>72</v>
      </c>
    </row>
    <row r="3" spans="1:8" ht="15" customHeight="1" x14ac:dyDescent="0.25">
      <c r="A3" s="11"/>
      <c r="B3" s="12"/>
      <c r="C3" s="13"/>
      <c r="D3" s="14"/>
      <c r="E3" s="15"/>
      <c r="F3" s="15"/>
      <c r="G3" s="14"/>
      <c r="H3" s="16"/>
    </row>
  </sheetData>
  <sheetProtection formatRows="0" insertRows="0" deleteRows="0"/>
  <mergeCells count="1">
    <mergeCell ref="A1:H1"/>
  </mergeCells>
  <conditionalFormatting sqref="A3">
    <cfRule type="expression" dxfId="19" priority="2">
      <formula>AND(NOT(ISBLANK($A3)),LEN($A3)&lt;&gt;6)</formula>
    </cfRule>
  </conditionalFormatting>
  <conditionalFormatting sqref="A3:F3">
    <cfRule type="expression" dxfId="18" priority="1">
      <formula>AND(ISBLANK(A3),COUNTA($A3:$F3)&gt;0)</formula>
    </cfRule>
  </conditionalFormatting>
  <conditionalFormatting sqref="C3">
    <cfRule type="expression" dxfId="17" priority="3">
      <formula>AND(NOT(ISBLANK($C3)),COUNTIF(Ded_Vals_All,$C3)&lt;1)</formula>
    </cfRule>
  </conditionalFormatting>
  <conditionalFormatting sqref="D3">
    <cfRule type="expression" dxfId="16" priority="4">
      <formula>AND(NOT(ISBLANK($D3)),MOD(IFERROR(DATEDIF(DATE(2024,1,6),$D3,"d"),1),14)&lt;&gt;0)</formula>
    </cfRule>
  </conditionalFormatting>
  <dataValidations count="3">
    <dataValidation type="list" errorStyle="warning" allowBlank="1" sqref="C3" xr:uid="{7CFA66C6-66B9-438D-A2F3-EAAAF4BB5E20}">
      <formula1>Ded_Vals_All</formula1>
    </dataValidation>
    <dataValidation type="list" errorStyle="warning" allowBlank="1" showInputMessage="1" error="Please verify that the date end date is correct. The current date is not at a pay end date." sqref="D3" xr:uid="{81447A53-5C09-4030-9289-ED89B1408AF9}">
      <formula1>End_Pay_Cycle_Dates</formula1>
    </dataValidation>
    <dataValidation errorStyle="information" allowBlank="1" showInputMessage="1" error="meow_x000a_" sqref="B3" xr:uid="{C1A3B6D0-17E1-4E06-BF56-6B8075E7070B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7A56C-3E85-4622-992D-725C1A2B2BC4}">
  <sheetPr codeName="Sheet2">
    <tabColor rgb="FFC00000"/>
  </sheetPr>
  <dimension ref="A1"/>
  <sheetViews>
    <sheetView showGridLines="0" workbookViewId="0"/>
  </sheetViews>
  <sheetFormatPr defaultColWidth="0" defaultRowHeight="15" zeroHeight="1" x14ac:dyDescent="0.25"/>
  <cols>
    <col min="1" max="1" width="130.5703125" customWidth="1"/>
    <col min="2" max="16384" width="9" hidden="1"/>
  </cols>
  <sheetData>
    <row r="1" spans="1:1" ht="178.5" customHeight="1" thickBot="1" x14ac:dyDescent="0.3">
      <c r="A1" s="1" t="str" cm="1">
        <f t="array" ref="A1">IF(COUNTA(Refunds_Adds[])=0,"",
REPLACE(
  _xlfn.CONCAT(
      _xlfn.REDUCE("'",
        _xlfn.MAP(
            Refunds_Adds[Emplid], Refunds_Adds[Co], Refunds_Adds[Ded_Code], Refunds_Adds[Type], Refunds_Adds[Amount],
            _xlfn.LAMBDA(_xlpm.a,_xlpm.b,_xlpm.c,_xlpm.d,_xlpm.e,
                _xlfn.CONCAT(
                  _xlpm.a,
                  "|", _xlpm.b,
                  "|", _xlpm.c,
                  "|", IF( _xlpm.c="PARKDP","A","B"),
                  "|", IF(_xlpm.d="Refund","R","A"),
                  "|", _xlpm.e
                )
            )
        ),
        _xlfn.LAMBDA(_xlpm.a,_xlpm.b, _xlfn.CONCAT(_xlpm.a, ",", _xlpm.b))
      ),
      "';"
  ),
  2,
  1,
  ""
)
)</f>
        <v/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A5E53-8524-4E38-8416-608639EB51C8}">
  <sheetPr codeName="Sheet3"/>
  <dimension ref="A1:T21"/>
  <sheetViews>
    <sheetView showGridLines="0" workbookViewId="0">
      <selection activeCell="B23" sqref="B23"/>
    </sheetView>
  </sheetViews>
  <sheetFormatPr defaultColWidth="9.140625" defaultRowHeight="15" x14ac:dyDescent="0.25"/>
  <cols>
    <col min="1" max="1" width="8" style="2" bestFit="1" customWidth="1"/>
    <col min="2" max="2" width="30.42578125" style="2" bestFit="1" customWidth="1"/>
    <col min="3" max="3" width="12.28515625" style="2" bestFit="1" customWidth="1"/>
    <col min="4" max="4" width="2.85546875" style="2" customWidth="1"/>
    <col min="5" max="5" width="7.85546875" style="2" bestFit="1" customWidth="1"/>
    <col min="6" max="6" width="30.42578125" style="2" bestFit="1" customWidth="1"/>
    <col min="7" max="7" width="12.28515625" style="2" bestFit="1" customWidth="1"/>
    <col min="8" max="8" width="2.85546875" style="2" customWidth="1"/>
    <col min="9" max="9" width="10.42578125" style="2" bestFit="1" customWidth="1"/>
    <col min="10" max="10" width="22.7109375" style="2" bestFit="1" customWidth="1"/>
    <col min="11" max="11" width="11.28515625" style="2" bestFit="1" customWidth="1"/>
    <col min="12" max="12" width="2.85546875" style="2" customWidth="1"/>
    <col min="13" max="13" width="7.85546875" style="2" bestFit="1" customWidth="1"/>
    <col min="14" max="14" width="10.42578125" style="2" bestFit="1" customWidth="1"/>
    <col min="15" max="15" width="2.85546875" style="2" customWidth="1"/>
    <col min="16" max="16" width="7.85546875" style="2" bestFit="1" customWidth="1"/>
    <col min="17" max="17" width="10.42578125" style="2" bestFit="1" customWidth="1"/>
    <col min="18" max="18" width="2.85546875" style="2" customWidth="1"/>
    <col min="19" max="19" width="7.85546875" style="2" bestFit="1" customWidth="1"/>
    <col min="20" max="20" width="10.42578125" style="2" bestFit="1" customWidth="1"/>
    <col min="21" max="16384" width="9.140625" style="2"/>
  </cols>
  <sheetData>
    <row r="1" spans="1:20" x14ac:dyDescent="0.25">
      <c r="A1" s="2" t="s">
        <v>73</v>
      </c>
      <c r="B1" s="2" t="s">
        <v>8</v>
      </c>
      <c r="C1" s="2" t="s">
        <v>59</v>
      </c>
      <c r="E1" s="2" t="s">
        <v>73</v>
      </c>
      <c r="F1" s="2" t="s">
        <v>8</v>
      </c>
      <c r="G1" s="2" t="s">
        <v>59</v>
      </c>
      <c r="I1" s="2" t="s">
        <v>73</v>
      </c>
      <c r="J1" s="2" t="s">
        <v>8</v>
      </c>
      <c r="K1" s="2" t="s">
        <v>59</v>
      </c>
      <c r="M1" s="2" t="s">
        <v>75</v>
      </c>
      <c r="N1" s="2" t="s">
        <v>74</v>
      </c>
      <c r="P1" s="2" t="s">
        <v>75</v>
      </c>
      <c r="Q1" s="2" t="s">
        <v>74</v>
      </c>
      <c r="S1" s="2" t="s">
        <v>75</v>
      </c>
      <c r="T1" s="2" t="s">
        <v>74</v>
      </c>
    </row>
    <row r="2" spans="1:20" x14ac:dyDescent="0.25">
      <c r="A2" s="3" t="s">
        <v>9</v>
      </c>
      <c r="B2" s="3" t="s">
        <v>10</v>
      </c>
      <c r="C2" s="3" t="s">
        <v>46</v>
      </c>
      <c r="E2" s="3" t="s">
        <v>9</v>
      </c>
      <c r="F2" s="3" t="s">
        <v>10</v>
      </c>
      <c r="G2" s="3" t="s">
        <v>46</v>
      </c>
      <c r="I2" s="3" t="s">
        <v>7</v>
      </c>
      <c r="J2" s="3" t="s">
        <v>35</v>
      </c>
      <c r="K2" s="3" t="s">
        <v>53</v>
      </c>
      <c r="M2" s="2">
        <v>0</v>
      </c>
      <c r="N2" s="4">
        <f ca="1">TODAY()-MOD(DATEDIF(DATE(2024,1,7),TODAY(),"D"),14) + 14*Start_Dates[[#This Row],[dt_shift]]</f>
        <v>45816</v>
      </c>
      <c r="P2" s="2">
        <v>0</v>
      </c>
      <c r="Q2" s="4">
        <f ca="1">TODAY()-MOD(DATEDIF(DATE(2024,1,6),TODAY(),"D"),14) + 14*End_Dates[[#This Row],[dt_shift]]</f>
        <v>45815</v>
      </c>
      <c r="S2" s="2">
        <v>-1</v>
      </c>
      <c r="T2" s="4" cm="1">
        <f t="array" aca="1" ref="T2" ca="1">TODAY()-MOD(DATEDIF(DATE(2024,1,6),TODAY(),"D"),14) + 14*Both_End_Start_Dates[[#This Row],[dt_shift]]+MOD(ROW(Both_End_Start_Dates[#This Row])-ROW(Both_End_Start_Dates[#Headers])-1,2)</f>
        <v>45801</v>
      </c>
    </row>
    <row r="3" spans="1:20" x14ac:dyDescent="0.25">
      <c r="A3" s="3" t="s">
        <v>11</v>
      </c>
      <c r="B3" s="3" t="s">
        <v>12</v>
      </c>
      <c r="C3" s="3" t="s">
        <v>47</v>
      </c>
      <c r="E3" s="3" t="s">
        <v>11</v>
      </c>
      <c r="F3" s="3" t="s">
        <v>12</v>
      </c>
      <c r="G3" s="3" t="s">
        <v>47</v>
      </c>
      <c r="I3" s="3" t="s">
        <v>61</v>
      </c>
      <c r="J3" s="3" t="s">
        <v>62</v>
      </c>
      <c r="K3" s="3" t="s">
        <v>61</v>
      </c>
      <c r="M3" s="2">
        <v>1</v>
      </c>
      <c r="N3" s="4">
        <f ca="1">TODAY()-MOD(DATEDIF(DATE(2024,1,7),TODAY(),"D"),14) + 14*Start_Dates[[#This Row],[dt_shift]]</f>
        <v>45830</v>
      </c>
      <c r="P3" s="2">
        <v>1</v>
      </c>
      <c r="Q3" s="4">
        <f ca="1">TODAY()-MOD(DATEDIF(DATE(2024,1,6),TODAY(),"D"),14) + 14*End_Dates[[#This Row],[dt_shift]]</f>
        <v>45829</v>
      </c>
      <c r="S3" s="2">
        <v>-1</v>
      </c>
      <c r="T3" s="4" cm="1">
        <f t="array" aca="1" ref="T3" ca="1">TODAY()-MOD(DATEDIF(DATE(2024,1,6),TODAY(),"D"),14) + 14*Both_End_Start_Dates[[#This Row],[dt_shift]]+MOD(ROW(Both_End_Start_Dates[#This Row])-ROW(Both_End_Start_Dates[#Headers])-1,2)</f>
        <v>45802</v>
      </c>
    </row>
    <row r="4" spans="1:20" x14ac:dyDescent="0.25">
      <c r="A4" s="3" t="s">
        <v>13</v>
      </c>
      <c r="B4" s="3" t="s">
        <v>14</v>
      </c>
      <c r="C4" s="3" t="s">
        <v>48</v>
      </c>
      <c r="E4" s="3" t="s">
        <v>13</v>
      </c>
      <c r="F4" s="3" t="s">
        <v>14</v>
      </c>
      <c r="G4" s="3" t="s">
        <v>48</v>
      </c>
      <c r="I4" s="3" t="s">
        <v>63</v>
      </c>
      <c r="J4" s="3" t="s">
        <v>64</v>
      </c>
      <c r="K4" s="3" t="s">
        <v>63</v>
      </c>
      <c r="M4" s="2">
        <v>2</v>
      </c>
      <c r="N4" s="4">
        <f ca="1">TODAY()-MOD(DATEDIF(DATE(2024,1,7),TODAY(),"D"),14) + 14*Start_Dates[[#This Row],[dt_shift]]</f>
        <v>45844</v>
      </c>
      <c r="P4" s="2">
        <v>2</v>
      </c>
      <c r="Q4" s="4">
        <f ca="1">TODAY()-MOD(DATEDIF(DATE(2024,1,6),TODAY(),"D"),14) + 14*End_Dates[[#This Row],[dt_shift]]</f>
        <v>45843</v>
      </c>
      <c r="S4" s="2">
        <v>0</v>
      </c>
      <c r="T4" s="4" cm="1">
        <f t="array" aca="1" ref="T4" ca="1">TODAY()-MOD(DATEDIF(DATE(2024,1,6),TODAY(),"D"),14) + 14*Both_End_Start_Dates[[#This Row],[dt_shift]]+MOD(ROW(Both_End_Start_Dates[#This Row])-ROW(Both_End_Start_Dates[#Headers])-1,2)</f>
        <v>45815</v>
      </c>
    </row>
    <row r="5" spans="1:20" x14ac:dyDescent="0.25">
      <c r="A5" s="3" t="s">
        <v>15</v>
      </c>
      <c r="B5" s="3" t="s">
        <v>16</v>
      </c>
      <c r="C5" s="3" t="s">
        <v>49</v>
      </c>
      <c r="E5" s="3" t="s">
        <v>15</v>
      </c>
      <c r="F5" s="3" t="s">
        <v>16</v>
      </c>
      <c r="G5" s="3" t="s">
        <v>49</v>
      </c>
      <c r="M5" s="2">
        <v>3</v>
      </c>
      <c r="N5" s="4">
        <f ca="1">TODAY()-MOD(DATEDIF(DATE(2024,1,7),TODAY(),"D"),14) + 14*Start_Dates[[#This Row],[dt_shift]]</f>
        <v>45858</v>
      </c>
      <c r="P5" s="2">
        <v>3</v>
      </c>
      <c r="Q5" s="4">
        <f ca="1">TODAY()-MOD(DATEDIF(DATE(2024,1,6),TODAY(),"D"),14) + 14*End_Dates[[#This Row],[dt_shift]]</f>
        <v>45857</v>
      </c>
      <c r="S5" s="2">
        <v>0</v>
      </c>
      <c r="T5" s="4" cm="1">
        <f t="array" aca="1" ref="T5" ca="1">TODAY()-MOD(DATEDIF(DATE(2024,1,6),TODAY(),"D"),14) + 14*Both_End_Start_Dates[[#This Row],[dt_shift]]+MOD(ROW(Both_End_Start_Dates[#This Row])-ROW(Both_End_Start_Dates[#Headers])-1,2)</f>
        <v>45816</v>
      </c>
    </row>
    <row r="6" spans="1:20" x14ac:dyDescent="0.25">
      <c r="A6" s="3" t="s">
        <v>17</v>
      </c>
      <c r="B6" s="3" t="s">
        <v>18</v>
      </c>
      <c r="C6" s="3" t="s">
        <v>50</v>
      </c>
      <c r="E6" s="3" t="s">
        <v>17</v>
      </c>
      <c r="F6" s="3" t="s">
        <v>18</v>
      </c>
      <c r="G6" s="3" t="s">
        <v>50</v>
      </c>
      <c r="M6" s="2">
        <v>4</v>
      </c>
      <c r="N6" s="4">
        <f ca="1">TODAY()-MOD(DATEDIF(DATE(2024,1,7),TODAY(),"D"),14) + 14*Start_Dates[[#This Row],[dt_shift]]</f>
        <v>45872</v>
      </c>
      <c r="P6" s="2">
        <v>4</v>
      </c>
      <c r="Q6" s="4">
        <f ca="1">TODAY()-MOD(DATEDIF(DATE(2024,1,6),TODAY(),"D"),14) + 14*End_Dates[[#This Row],[dt_shift]]</f>
        <v>45871</v>
      </c>
      <c r="S6" s="2">
        <v>1</v>
      </c>
      <c r="T6" s="4" cm="1">
        <f t="array" aca="1" ref="T6" ca="1">TODAY()-MOD(DATEDIF(DATE(2024,1,6),TODAY(),"D"),14) + 14*Both_End_Start_Dates[[#This Row],[dt_shift]]+MOD(ROW(Both_End_Start_Dates[#This Row])-ROW(Both_End_Start_Dates[#Headers])-1,2)</f>
        <v>45829</v>
      </c>
    </row>
    <row r="7" spans="1:20" x14ac:dyDescent="0.25">
      <c r="A7" s="3" t="s">
        <v>19</v>
      </c>
      <c r="B7" s="3" t="s">
        <v>20</v>
      </c>
      <c r="C7" s="3" t="s">
        <v>19</v>
      </c>
      <c r="E7" s="3" t="s">
        <v>19</v>
      </c>
      <c r="F7" s="3" t="s">
        <v>20</v>
      </c>
      <c r="G7" s="3" t="s">
        <v>19</v>
      </c>
      <c r="M7" s="2">
        <v>5</v>
      </c>
      <c r="N7" s="4">
        <f ca="1">TODAY()-MOD(DATEDIF(DATE(2024,1,7),TODAY(),"D"),14) + 14*Start_Dates[[#This Row],[dt_shift]]</f>
        <v>45886</v>
      </c>
      <c r="P7" s="2">
        <v>-1</v>
      </c>
      <c r="Q7" s="4">
        <f ca="1">TODAY()-MOD(DATEDIF(DATE(2024,1,6),TODAY(),"D"),14) + 14*End_Dates[[#This Row],[dt_shift]]</f>
        <v>45801</v>
      </c>
      <c r="S7" s="2">
        <v>1</v>
      </c>
      <c r="T7" s="4" cm="1">
        <f t="array" aca="1" ref="T7" ca="1">TODAY()-MOD(DATEDIF(DATE(2024,1,6),TODAY(),"D"),14) + 14*Both_End_Start_Dates[[#This Row],[dt_shift]]+MOD(ROW(Both_End_Start_Dates[#This Row])-ROW(Both_End_Start_Dates[#Headers])-1,2)</f>
        <v>45830</v>
      </c>
    </row>
    <row r="8" spans="1:20" x14ac:dyDescent="0.25">
      <c r="A8" s="3" t="s">
        <v>21</v>
      </c>
      <c r="B8" s="3" t="s">
        <v>22</v>
      </c>
      <c r="C8" s="3" t="s">
        <v>21</v>
      </c>
      <c r="E8" s="3" t="s">
        <v>21</v>
      </c>
      <c r="F8" s="3" t="s">
        <v>22</v>
      </c>
      <c r="G8" s="3" t="s">
        <v>21</v>
      </c>
      <c r="M8" s="2">
        <v>6</v>
      </c>
      <c r="N8" s="4">
        <f ca="1">TODAY()-MOD(DATEDIF(DATE(2024,1,7),TODAY(),"D"),14) + 14*Start_Dates[[#This Row],[dt_shift]]</f>
        <v>45900</v>
      </c>
      <c r="P8" s="2">
        <v>-2</v>
      </c>
      <c r="Q8" s="4">
        <f ca="1">TODAY()-MOD(DATEDIF(DATE(2024,1,6),TODAY(),"D"),14) + 14*End_Dates[[#This Row],[dt_shift]]</f>
        <v>45787</v>
      </c>
    </row>
    <row r="9" spans="1:20" x14ac:dyDescent="0.25">
      <c r="A9" s="3" t="s">
        <v>23</v>
      </c>
      <c r="B9" s="3" t="s">
        <v>24</v>
      </c>
      <c r="C9" s="3" t="s">
        <v>23</v>
      </c>
      <c r="E9" s="3" t="s">
        <v>23</v>
      </c>
      <c r="F9" s="3" t="s">
        <v>24</v>
      </c>
      <c r="G9" s="3" t="s">
        <v>23</v>
      </c>
      <c r="M9" s="2">
        <v>7</v>
      </c>
      <c r="N9" s="4">
        <f ca="1">TODAY()-MOD(DATEDIF(DATE(2024,1,7),TODAY(),"D"),14) + 14*Start_Dates[[#This Row],[dt_shift]]</f>
        <v>45914</v>
      </c>
    </row>
    <row r="10" spans="1:20" x14ac:dyDescent="0.25">
      <c r="A10" s="3" t="s">
        <v>25</v>
      </c>
      <c r="B10" s="3" t="s">
        <v>26</v>
      </c>
      <c r="C10" s="3" t="s">
        <v>25</v>
      </c>
      <c r="E10" s="3" t="s">
        <v>25</v>
      </c>
      <c r="F10" s="3" t="s">
        <v>26</v>
      </c>
      <c r="G10" s="3" t="s">
        <v>25</v>
      </c>
      <c r="M10" s="2">
        <v>8</v>
      </c>
      <c r="N10" s="4">
        <f ca="1">TODAY()-MOD(DATEDIF(DATE(2024,1,7),TODAY(),"D"),14) + 14*Start_Dates[[#This Row],[dt_shift]]</f>
        <v>45928</v>
      </c>
    </row>
    <row r="11" spans="1:20" x14ac:dyDescent="0.25">
      <c r="A11" s="3" t="s">
        <v>27</v>
      </c>
      <c r="B11" s="3" t="s">
        <v>28</v>
      </c>
      <c r="C11" s="3" t="s">
        <v>27</v>
      </c>
      <c r="E11" s="3" t="s">
        <v>27</v>
      </c>
      <c r="F11" s="3" t="s">
        <v>28</v>
      </c>
      <c r="G11" s="3" t="s">
        <v>27</v>
      </c>
      <c r="M11" s="2">
        <v>9</v>
      </c>
      <c r="N11" s="4">
        <f ca="1">TODAY()-MOD(DATEDIF(DATE(2024,1,7),TODAY(),"D"),14) + 14*Start_Dates[[#This Row],[dt_shift]]</f>
        <v>45942</v>
      </c>
    </row>
    <row r="12" spans="1:20" x14ac:dyDescent="0.25">
      <c r="A12" s="3" t="s">
        <v>29</v>
      </c>
      <c r="B12" s="3" t="s">
        <v>30</v>
      </c>
      <c r="C12" s="3" t="s">
        <v>51</v>
      </c>
      <c r="E12" s="3" t="s">
        <v>29</v>
      </c>
      <c r="F12" s="3" t="s">
        <v>30</v>
      </c>
      <c r="G12" s="3" t="s">
        <v>51</v>
      </c>
      <c r="M12" s="2">
        <v>-1</v>
      </c>
      <c r="N12" s="4">
        <f ca="1">TODAY()-MOD(DATEDIF(DATE(2024,1,7),TODAY(),"D"),14) + 14*Start_Dates[[#This Row],[dt_shift]]</f>
        <v>45802</v>
      </c>
    </row>
    <row r="13" spans="1:20" x14ac:dyDescent="0.25">
      <c r="A13" s="3" t="s">
        <v>31</v>
      </c>
      <c r="B13" s="3" t="s">
        <v>32</v>
      </c>
      <c r="C13" s="3" t="s">
        <v>31</v>
      </c>
      <c r="E13" s="3" t="s">
        <v>31</v>
      </c>
      <c r="F13" s="3" t="s">
        <v>32</v>
      </c>
      <c r="G13" s="3" t="s">
        <v>31</v>
      </c>
    </row>
    <row r="14" spans="1:20" x14ac:dyDescent="0.25">
      <c r="A14" s="3" t="s">
        <v>33</v>
      </c>
      <c r="B14" s="3" t="s">
        <v>34</v>
      </c>
      <c r="C14" s="3" t="s">
        <v>52</v>
      </c>
      <c r="E14" s="3" t="s">
        <v>33</v>
      </c>
      <c r="F14" s="3" t="s">
        <v>34</v>
      </c>
      <c r="G14" s="3" t="s">
        <v>52</v>
      </c>
    </row>
    <row r="15" spans="1:20" x14ac:dyDescent="0.25">
      <c r="A15" s="3" t="s">
        <v>7</v>
      </c>
      <c r="B15" s="3" t="s">
        <v>35</v>
      </c>
      <c r="C15" s="3" t="s">
        <v>53</v>
      </c>
      <c r="E15" s="3" t="s">
        <v>36</v>
      </c>
      <c r="F15" s="3" t="s">
        <v>37</v>
      </c>
      <c r="G15" s="3" t="s">
        <v>54</v>
      </c>
    </row>
    <row r="16" spans="1:20" x14ac:dyDescent="0.25">
      <c r="A16" s="3" t="s">
        <v>36</v>
      </c>
      <c r="B16" s="3" t="s">
        <v>37</v>
      </c>
      <c r="C16" s="3" t="s">
        <v>54</v>
      </c>
      <c r="E16" s="3" t="s">
        <v>38</v>
      </c>
      <c r="F16" s="3" t="s">
        <v>39</v>
      </c>
      <c r="G16" s="3" t="s">
        <v>55</v>
      </c>
    </row>
    <row r="17" spans="1:7" x14ac:dyDescent="0.25">
      <c r="A17" s="3" t="s">
        <v>38</v>
      </c>
      <c r="B17" s="3" t="s">
        <v>39</v>
      </c>
      <c r="C17" s="3" t="s">
        <v>55</v>
      </c>
      <c r="E17" s="3" t="s">
        <v>40</v>
      </c>
      <c r="F17" s="3" t="s">
        <v>41</v>
      </c>
      <c r="G17" s="3" t="s">
        <v>56</v>
      </c>
    </row>
    <row r="18" spans="1:7" x14ac:dyDescent="0.25">
      <c r="A18" s="3" t="s">
        <v>40</v>
      </c>
      <c r="B18" s="3" t="s">
        <v>41</v>
      </c>
      <c r="C18" s="3" t="s">
        <v>56</v>
      </c>
      <c r="E18" s="3" t="s">
        <v>42</v>
      </c>
      <c r="F18" s="3" t="s">
        <v>43</v>
      </c>
      <c r="G18" s="3" t="s">
        <v>57</v>
      </c>
    </row>
    <row r="19" spans="1:7" x14ac:dyDescent="0.25">
      <c r="A19" s="3" t="s">
        <v>42</v>
      </c>
      <c r="B19" s="3" t="s">
        <v>43</v>
      </c>
      <c r="C19" s="3" t="s">
        <v>57</v>
      </c>
      <c r="E19" s="3" t="s">
        <v>44</v>
      </c>
      <c r="F19" s="3" t="s">
        <v>45</v>
      </c>
      <c r="G19" s="3" t="s">
        <v>58</v>
      </c>
    </row>
    <row r="20" spans="1:7" x14ac:dyDescent="0.25">
      <c r="A20" s="3" t="s">
        <v>44</v>
      </c>
      <c r="B20" s="3" t="s">
        <v>45</v>
      </c>
      <c r="C20" s="3" t="s">
        <v>58</v>
      </c>
    </row>
    <row r="21" spans="1:7" x14ac:dyDescent="0.25">
      <c r="A21" s="3" t="s">
        <v>61</v>
      </c>
      <c r="B21" s="3" t="s">
        <v>62</v>
      </c>
      <c r="C21" s="3" t="s">
        <v>61</v>
      </c>
    </row>
  </sheetData>
  <sheetProtection sheet="1" objects="1" scenarios="1" selectLockedCells="1" selectUnlockedCells="1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44A4-AAD8-4048-B0A5-16BE52D25FFF}">
  <sheetPr codeName="Sheet4">
    <tabColor rgb="FFCCFFCC"/>
  </sheetPr>
  <dimension ref="A1:H4"/>
  <sheetViews>
    <sheetView showGridLines="0" workbookViewId="0">
      <selection activeCell="A3" sqref="A3"/>
    </sheetView>
  </sheetViews>
  <sheetFormatPr defaultColWidth="0" defaultRowHeight="15" x14ac:dyDescent="0.25"/>
  <cols>
    <col min="1" max="1" width="8.5703125" style="5" customWidth="1"/>
    <col min="2" max="2" width="5.7109375" style="5" customWidth="1"/>
    <col min="3" max="3" width="10" style="5" bestFit="1" customWidth="1"/>
    <col min="4" max="4" width="11.85546875" style="5" customWidth="1"/>
    <col min="5" max="6" width="25.7109375" style="5" customWidth="1"/>
    <col min="7" max="7" width="11.85546875" style="5" customWidth="1"/>
    <col min="8" max="8" width="40" style="5" customWidth="1"/>
    <col min="9" max="16384" width="9" hidden="1"/>
  </cols>
  <sheetData>
    <row r="1" spans="1:8" ht="24" x14ac:dyDescent="0.4">
      <c r="A1" s="21" t="s">
        <v>67</v>
      </c>
      <c r="B1" s="21"/>
      <c r="C1" s="21"/>
      <c r="D1" s="21"/>
      <c r="E1" s="21"/>
      <c r="F1" s="21"/>
      <c r="G1" s="21"/>
      <c r="H1" s="21"/>
    </row>
    <row r="2" spans="1:8" x14ac:dyDescent="0.25">
      <c r="A2" s="7" t="s">
        <v>0</v>
      </c>
      <c r="B2" s="8" t="s">
        <v>1</v>
      </c>
      <c r="C2" s="9" t="s">
        <v>60</v>
      </c>
      <c r="D2" s="9" t="s">
        <v>71</v>
      </c>
      <c r="E2" s="8" t="s">
        <v>3</v>
      </c>
      <c r="F2" s="8" t="s">
        <v>4</v>
      </c>
      <c r="G2" s="8" t="s">
        <v>5</v>
      </c>
      <c r="H2" s="10" t="s">
        <v>72</v>
      </c>
    </row>
    <row r="3" spans="1:8" x14ac:dyDescent="0.25">
      <c r="A3" s="11"/>
      <c r="B3" s="12"/>
      <c r="C3" s="13"/>
      <c r="D3" s="14"/>
      <c r="E3" s="15"/>
      <c r="F3" s="15"/>
      <c r="G3" s="14"/>
      <c r="H3" s="16"/>
    </row>
    <row r="4" spans="1:8" x14ac:dyDescent="0.25">
      <c r="A4" s="6"/>
      <c r="B4" s="6"/>
      <c r="C4" s="6"/>
      <c r="D4" s="6"/>
      <c r="E4" s="6"/>
      <c r="F4" s="6"/>
      <c r="G4" s="6"/>
      <c r="H4" s="6"/>
    </row>
  </sheetData>
  <mergeCells count="1">
    <mergeCell ref="A1:H1"/>
  </mergeCells>
  <conditionalFormatting sqref="A3">
    <cfRule type="expression" dxfId="15" priority="2">
      <formula>AND(NOT(ISBLANK($A3)),LEN($A3)&lt;&gt;6)</formula>
    </cfRule>
  </conditionalFormatting>
  <conditionalFormatting sqref="A3:F3">
    <cfRule type="expression" dxfId="14" priority="1">
      <formula>AND(ISBLANK(A3),COUNTA($A3:$F3)&gt;0)</formula>
    </cfRule>
  </conditionalFormatting>
  <conditionalFormatting sqref="C3">
    <cfRule type="expression" dxfId="13" priority="3">
      <formula>AND(NOT(ISBLANK($C3)),COUNTIF(Ded_Vals_Monthly,$C3)&lt;1)</formula>
    </cfRule>
  </conditionalFormatting>
  <conditionalFormatting sqref="D3">
    <cfRule type="expression" dxfId="12" priority="4">
      <formula>AND(NOT(ISBLANK($D3)),MOD(IFERROR(DATEDIF(DATE(2024,1,7),$D3,"d"),1),14)&lt;&gt;0)</formula>
    </cfRule>
  </conditionalFormatting>
  <dataValidations count="3">
    <dataValidation errorStyle="information" allowBlank="1" showInputMessage="1" error="meow_x000a_" sqref="B3" xr:uid="{30F4B881-B465-43AE-97F1-44BDFACE3562}"/>
    <dataValidation type="list" errorStyle="warning" allowBlank="1" showInputMessage="1" error="Please verify that the date end date is correct. The current date is not at a pay end date." sqref="D3" xr:uid="{AC7CED25-B74C-4A1D-8CAC-F9C6A888E097}">
      <formula1>Start_Pay_Cycle_Dates</formula1>
    </dataValidation>
    <dataValidation type="list" errorStyle="warning" allowBlank="1" sqref="C3" xr:uid="{8475354C-4D35-482B-B3A8-1A0E6F814DA6}">
      <formula1>Ded_Vals_Monthly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B615F-8BB2-4778-9301-821E5DD30075}">
  <sheetPr codeName="Sheet5">
    <tabColor rgb="FFCCFFFF"/>
  </sheetPr>
  <dimension ref="A1:I4"/>
  <sheetViews>
    <sheetView showGridLines="0" workbookViewId="0">
      <selection activeCell="A3" sqref="A3"/>
    </sheetView>
  </sheetViews>
  <sheetFormatPr defaultColWidth="0" defaultRowHeight="15" x14ac:dyDescent="0.25"/>
  <cols>
    <col min="1" max="1" width="8.5703125" style="5" customWidth="1"/>
    <col min="2" max="2" width="5.7109375" style="5" customWidth="1"/>
    <col min="3" max="3" width="10" style="5" bestFit="1" customWidth="1"/>
    <col min="4" max="4" width="11.85546875" style="5" customWidth="1"/>
    <col min="5" max="5" width="9.5703125" style="5" customWidth="1"/>
    <col min="6" max="7" width="25.7109375" style="5" customWidth="1"/>
    <col min="8" max="8" width="11.85546875" style="5" customWidth="1"/>
    <col min="9" max="9" width="40" style="5" customWidth="1"/>
    <col min="10" max="16384" width="9" hidden="1"/>
  </cols>
  <sheetData>
    <row r="1" spans="1:9" ht="24" x14ac:dyDescent="0.4">
      <c r="A1" s="22" t="s">
        <v>68</v>
      </c>
      <c r="B1" s="22"/>
      <c r="C1" s="22"/>
      <c r="D1" s="22"/>
      <c r="E1" s="22"/>
      <c r="F1" s="22"/>
      <c r="G1" s="22"/>
      <c r="H1" s="22"/>
      <c r="I1" s="22"/>
    </row>
    <row r="2" spans="1:9" x14ac:dyDescent="0.25">
      <c r="A2" s="7" t="s">
        <v>0</v>
      </c>
      <c r="B2" s="8" t="s">
        <v>1</v>
      </c>
      <c r="C2" s="9" t="s">
        <v>60</v>
      </c>
      <c r="D2" s="9" t="s">
        <v>71</v>
      </c>
      <c r="E2" s="9" t="s">
        <v>66</v>
      </c>
      <c r="F2" s="8" t="s">
        <v>3</v>
      </c>
      <c r="G2" s="8" t="s">
        <v>4</v>
      </c>
      <c r="H2" s="8" t="s">
        <v>5</v>
      </c>
      <c r="I2" s="10" t="s">
        <v>72</v>
      </c>
    </row>
    <row r="3" spans="1:9" x14ac:dyDescent="0.25">
      <c r="A3" s="11"/>
      <c r="B3" s="12"/>
      <c r="C3" s="13"/>
      <c r="D3" s="14"/>
      <c r="E3" s="17"/>
      <c r="F3" s="15"/>
      <c r="G3" s="15"/>
      <c r="H3" s="14"/>
      <c r="I3" s="16"/>
    </row>
    <row r="4" spans="1:9" x14ac:dyDescent="0.25">
      <c r="A4" s="6"/>
      <c r="B4" s="6"/>
      <c r="C4" s="6"/>
      <c r="D4" s="6"/>
      <c r="E4" s="6"/>
      <c r="F4" s="6"/>
      <c r="G4" s="6"/>
      <c r="H4" s="6"/>
      <c r="I4" s="6"/>
    </row>
  </sheetData>
  <mergeCells count="1">
    <mergeCell ref="A1:I1"/>
  </mergeCells>
  <conditionalFormatting sqref="A3">
    <cfRule type="expression" dxfId="11" priority="2">
      <formula>AND(NOT(ISBLANK($A3)),LEN($A3)&lt;&gt;6)</formula>
    </cfRule>
  </conditionalFormatting>
  <conditionalFormatting sqref="A3:G3">
    <cfRule type="expression" dxfId="10" priority="1">
      <formula>AND(ISBLANK(A3),COUNTA($A3:$G3)&gt;0)</formula>
    </cfRule>
  </conditionalFormatting>
  <conditionalFormatting sqref="C3">
    <cfRule type="expression" dxfId="9" priority="3">
      <formula>AND(NOT(ISBLANK($C3)),COUNTIF(Ded_Vals_Flat,$C3)&lt;1)</formula>
    </cfRule>
  </conditionalFormatting>
  <conditionalFormatting sqref="D3">
    <cfRule type="expression" dxfId="8" priority="4">
      <formula>AND(NOT(ISBLANK($D3)),MOD(IFERROR(DATEDIF(DATE(2024,1,7),$D3,"d"),1),14)&lt;&gt;0)</formula>
    </cfRule>
  </conditionalFormatting>
  <conditionalFormatting sqref="E3">
    <cfRule type="expression" dxfId="7" priority="5">
      <formula>AND(NOT(ISBLANK($E3)),NOT(ISNUMBER($E3)))</formula>
    </cfRule>
  </conditionalFormatting>
  <dataValidations count="4">
    <dataValidation type="list" errorStyle="warning" allowBlank="1" sqref="C3" xr:uid="{6212AA4E-2A26-41B0-8F11-73BC4BFD89E6}">
      <formula1>Ded_Vals_Flat</formula1>
    </dataValidation>
    <dataValidation type="list" errorStyle="warning" allowBlank="1" showInputMessage="1" error="Please verify that the date end date is correct. The current date is not at a pay end date." sqref="D3" xr:uid="{BEC8389C-5E9D-4210-BB5C-EDC3C7B1E196}">
      <formula1>Start_Pay_Cycle_Dates</formula1>
    </dataValidation>
    <dataValidation errorStyle="information" allowBlank="1" showInputMessage="1" error="meow_x000a_" sqref="B3" xr:uid="{BAB99E71-2DF1-4A32-873A-04DB9636145C}"/>
    <dataValidation type="decimal" errorStyle="warning" allowBlank="1" showInputMessage="1" error="Please verify that the date end date is correct. The current date is not at a pay end date." sqref="E3" xr:uid="{A861AA9A-D176-428D-A5F4-3A42C85E02C2}">
      <formula1>0</formula1>
      <formula2>200</formula2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6960-FAB3-420C-A270-7A16C40E0109}">
  <sheetPr codeName="Sheet6">
    <tabColor rgb="FFFFCC99"/>
  </sheetPr>
  <dimension ref="A1:J3"/>
  <sheetViews>
    <sheetView showGridLines="0" workbookViewId="0">
      <selection activeCell="A3" sqref="A3"/>
    </sheetView>
  </sheetViews>
  <sheetFormatPr defaultColWidth="0" defaultRowHeight="15" x14ac:dyDescent="0.25"/>
  <cols>
    <col min="1" max="1" width="8.5703125" style="5" customWidth="1"/>
    <col min="2" max="2" width="5.7109375" style="5" customWidth="1"/>
    <col min="3" max="3" width="10" style="5" bestFit="1" customWidth="1"/>
    <col min="4" max="4" width="11.85546875" style="5" customWidth="1"/>
    <col min="5" max="5" width="9.5703125" style="5" customWidth="1"/>
    <col min="6" max="6" width="11.85546875" style="5" customWidth="1"/>
    <col min="7" max="8" width="25.7109375" style="5" customWidth="1"/>
    <col min="9" max="9" width="11.85546875" style="5" customWidth="1"/>
    <col min="10" max="10" width="40" style="5" customWidth="1"/>
    <col min="11" max="16384" width="9" hidden="1"/>
  </cols>
  <sheetData>
    <row r="1" spans="1:10" ht="24" x14ac:dyDescent="0.4">
      <c r="A1" s="23" t="s">
        <v>69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7" t="s">
        <v>0</v>
      </c>
      <c r="B2" s="8" t="s">
        <v>1</v>
      </c>
      <c r="C2" s="9" t="s">
        <v>60</v>
      </c>
      <c r="D2" s="9" t="s">
        <v>65</v>
      </c>
      <c r="E2" s="9" t="s">
        <v>66</v>
      </c>
      <c r="F2" s="9" t="s">
        <v>6</v>
      </c>
      <c r="G2" s="8" t="s">
        <v>3</v>
      </c>
      <c r="H2" s="8" t="s">
        <v>4</v>
      </c>
      <c r="I2" s="8" t="s">
        <v>5</v>
      </c>
      <c r="J2" s="10" t="s">
        <v>72</v>
      </c>
    </row>
    <row r="3" spans="1:10" x14ac:dyDescent="0.25">
      <c r="A3" s="11"/>
      <c r="B3" s="12"/>
      <c r="C3" s="13"/>
      <c r="D3" s="18"/>
      <c r="E3" s="19"/>
      <c r="F3" s="14"/>
      <c r="G3" s="15"/>
      <c r="H3" s="15"/>
      <c r="I3" s="14"/>
      <c r="J3" s="16"/>
    </row>
  </sheetData>
  <mergeCells count="1">
    <mergeCell ref="A1:J1"/>
  </mergeCells>
  <conditionalFormatting sqref="A3">
    <cfRule type="expression" dxfId="6" priority="1">
      <formula>AND(NOT(ISBLANK($A3)),LEN($A3)&lt;&gt;6)</formula>
    </cfRule>
  </conditionalFormatting>
  <conditionalFormatting sqref="A3:H3">
    <cfRule type="expression" dxfId="5" priority="2">
      <formula>AND(ISBLANK(A3),COUNTA($A3:$H3)&gt;0)</formula>
    </cfRule>
  </conditionalFormatting>
  <conditionalFormatting sqref="C3">
    <cfRule type="expression" dxfId="4" priority="3">
      <formula>AND(NOT(ISBLANK($C3)),COUNTIF(Ded_Vals_All,$C3)&lt;1)</formula>
    </cfRule>
  </conditionalFormatting>
  <conditionalFormatting sqref="D3">
    <cfRule type="cellIs" dxfId="3" priority="4" operator="equal">
      <formula>"Addition"</formula>
    </cfRule>
    <cfRule type="cellIs" dxfId="2" priority="5" operator="equal">
      <formula>"Refund"</formula>
    </cfRule>
  </conditionalFormatting>
  <conditionalFormatting sqref="E3">
    <cfRule type="expression" dxfId="1" priority="6">
      <formula>AND(NOT(ISBLANK($E3)),NOT(ISNUMBER($E3)))</formula>
    </cfRule>
  </conditionalFormatting>
  <conditionalFormatting sqref="F3">
    <cfRule type="expression" dxfId="0" priority="7">
      <formula>AND(NOT(ISBLANK($F3)),MOD(IFERROR(DATEDIF(DATE(2024,1,7),$F3,"d"),1),14)&lt;&gt;0,MOD(IFERROR(DATEDIF(DATE(2024,1,6),$F3,"d"),1),14)&lt;&gt;0)</formula>
    </cfRule>
  </conditionalFormatting>
  <dataValidations count="5">
    <dataValidation type="list" errorStyle="warning" allowBlank="1" showInputMessage="1" error="Please verify that the date end date is correct. The current date is not at a pay end date." sqref="F3" xr:uid="{EB7F3AB3-11C5-4C8D-8C6E-361ACE36D8FF}">
      <formula1>Start_And_End_Dates</formula1>
    </dataValidation>
    <dataValidation errorStyle="information" allowBlank="1" showInputMessage="1" error="meow_x000a_" sqref="B3" xr:uid="{F025ED84-0230-462D-88FE-23D73D77A127}"/>
    <dataValidation type="list" errorStyle="warning" allowBlank="1" sqref="C3" xr:uid="{7CFA6E9D-D55B-4720-A3EF-5C41571E352A}">
      <formula1>Ded_Vals_All</formula1>
    </dataValidation>
    <dataValidation type="list" allowBlank="1" showErrorMessage="1" errorTitle="Must Be R or A" error="Please choose either Refund or Addition from the dropdown menu." sqref="D3" xr:uid="{35281EBC-89B9-459A-A081-CD7C651F38CF}">
      <formula1>"Refund,Addition"</formula1>
    </dataValidation>
    <dataValidation type="decimal" errorStyle="warning" allowBlank="1" sqref="E3" xr:uid="{C4EEA350-C983-4841-A9B4-63E5F02E2084}">
      <formula1>0</formula1>
      <formula2>200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End Deductions</vt:lpstr>
      <vt:lpstr>Service_Center_Only</vt:lpstr>
      <vt:lpstr>List_Validations</vt:lpstr>
      <vt:lpstr>New Parking Monthly</vt:lpstr>
      <vt:lpstr>New Flat Amounts</vt:lpstr>
      <vt:lpstr>Refunds-Additions</vt:lpstr>
      <vt:lpstr>Ded_Vals_All</vt:lpstr>
      <vt:lpstr>Ded_Vals_Descr</vt:lpstr>
      <vt:lpstr>Ded_Vals_Flat</vt:lpstr>
      <vt:lpstr>Ded_Vals_Monthly</vt:lpstr>
      <vt:lpstr>End_Pay_Cycle_Dates</vt:lpstr>
      <vt:lpstr>Refunds_Consolidated_List</vt:lpstr>
      <vt:lpstr>Start_And_End_Dates</vt:lpstr>
      <vt:lpstr>Start_Pay_Cycle_Dates</vt:lpstr>
    </vt:vector>
  </TitlesOfParts>
  <Manager>chetaylo@nm.org;walter.alcazar@nm.org</Manager>
  <Company>Northwestern Medicine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Parking Deduction Changes</dc:title>
  <dc:creator>Alcazar, Walter</dc:creator>
  <dc:description>Template for parking deductions. Please contact Service Center Dept if changes are needed.</dc:description>
  <cp:lastModifiedBy>Alcazar, Walter</cp:lastModifiedBy>
  <dcterms:created xsi:type="dcterms:W3CDTF">2024-08-24T02:00:19Z</dcterms:created>
  <dcterms:modified xsi:type="dcterms:W3CDTF">2025-06-09T17:08:42Z</dcterms:modified>
  <cp:contentStatus>In Development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b86c14-7a6f-495c-8ad3-202986669410_Enabled">
    <vt:lpwstr>true</vt:lpwstr>
  </property>
  <property fmtid="{D5CDD505-2E9C-101B-9397-08002B2CF9AE}" pid="3" name="MSIP_Label_b1b86c14-7a6f-495c-8ad3-202986669410_SetDate">
    <vt:lpwstr>2024-08-24T02:00:29Z</vt:lpwstr>
  </property>
  <property fmtid="{D5CDD505-2E9C-101B-9397-08002B2CF9AE}" pid="4" name="MSIP_Label_b1b86c14-7a6f-495c-8ad3-202986669410_Method">
    <vt:lpwstr>Standard</vt:lpwstr>
  </property>
  <property fmtid="{D5CDD505-2E9C-101B-9397-08002B2CF9AE}" pid="5" name="MSIP_Label_b1b86c14-7a6f-495c-8ad3-202986669410_Name">
    <vt:lpwstr>Internal</vt:lpwstr>
  </property>
  <property fmtid="{D5CDD505-2E9C-101B-9397-08002B2CF9AE}" pid="6" name="MSIP_Label_b1b86c14-7a6f-495c-8ad3-202986669410_SiteId">
    <vt:lpwstr>2596038f-3ea4-4f0c-aed1-066eb6544c3b</vt:lpwstr>
  </property>
  <property fmtid="{D5CDD505-2E9C-101B-9397-08002B2CF9AE}" pid="7" name="MSIP_Label_b1b86c14-7a6f-495c-8ad3-202986669410_ActionId">
    <vt:lpwstr>cf11911a-1447-4fb7-baca-7f1e911f991f</vt:lpwstr>
  </property>
  <property fmtid="{D5CDD505-2E9C-101B-9397-08002B2CF9AE}" pid="8" name="MSIP_Label_b1b86c14-7a6f-495c-8ad3-202986669410_ContentBits">
    <vt:lpwstr>0</vt:lpwstr>
  </property>
</Properties>
</file>